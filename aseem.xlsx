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zidin\Documents\"/>
    </mc:Choice>
  </mc:AlternateContent>
  <xr:revisionPtr revIDLastSave="0" documentId="13_ncr:1_{48B5D5F3-4BE5-4062-8306-D14E298799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3" i="1" l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</calcChain>
</file>

<file path=xl/sharedStrings.xml><?xml version="1.0" encoding="utf-8"?>
<sst xmlns="http://schemas.openxmlformats.org/spreadsheetml/2006/main" count="79" uniqueCount="47">
  <si>
    <t>WANDOOR RUNNERS</t>
  </si>
  <si>
    <t>100K Running Challenge_ Leader Board</t>
  </si>
  <si>
    <t>01/09/2026 To 30/09/2026</t>
  </si>
  <si>
    <t>SL No:</t>
  </si>
  <si>
    <t>Name</t>
  </si>
  <si>
    <t>Source</t>
  </si>
  <si>
    <t>Mob No:</t>
  </si>
  <si>
    <t>Total</t>
  </si>
  <si>
    <t>Distance KM</t>
  </si>
  <si>
    <t>Pace/km</t>
  </si>
  <si>
    <t>Time</t>
  </si>
  <si>
    <t>Mohandas k</t>
  </si>
  <si>
    <t>whatsapp group</t>
  </si>
  <si>
    <t>1h 35mm</t>
  </si>
  <si>
    <t>2h 15mm</t>
  </si>
  <si>
    <t>Rinshid TP</t>
  </si>
  <si>
    <t>1h 2m</t>
  </si>
  <si>
    <t>Ajeesh TP</t>
  </si>
  <si>
    <t>Binu Naduvath</t>
  </si>
  <si>
    <t>Prakasan C T</t>
  </si>
  <si>
    <t>1h 16m</t>
  </si>
  <si>
    <t>Ibnusiyad</t>
  </si>
  <si>
    <t>Ahamed Shameer</t>
  </si>
  <si>
    <t>1hh.11mm</t>
  </si>
  <si>
    <t>Sunilbabu</t>
  </si>
  <si>
    <t>Mohamed Shajahan Parancheri </t>
  </si>
  <si>
    <t>Razthan Faris CK</t>
  </si>
  <si>
    <t>Subhash Kv</t>
  </si>
  <si>
    <t>Ali Faisal KT</t>
  </si>
  <si>
    <t>Ajmal V</t>
  </si>
  <si>
    <t>Firshad P</t>
  </si>
  <si>
    <t>Sarath porur</t>
  </si>
  <si>
    <t>96056 88857</t>
  </si>
  <si>
    <t>Unnikrishnan k</t>
  </si>
  <si>
    <t>Nidheesh Porur</t>
  </si>
  <si>
    <t>Arun narayanan UC</t>
  </si>
  <si>
    <t>80862 20552</t>
  </si>
  <si>
    <t>Khaliq KT</t>
  </si>
  <si>
    <t>Santhosh Porur</t>
  </si>
  <si>
    <t xml:space="preserve"> 86066 02209</t>
  </si>
  <si>
    <t>Mohammad Mazin</t>
  </si>
  <si>
    <t>Biju Mon</t>
  </si>
  <si>
    <t>Mohammed Shafin</t>
  </si>
  <si>
    <t>Anwer Hussain </t>
  </si>
  <si>
    <t>Fahis</t>
  </si>
  <si>
    <t>Akhileswary</t>
  </si>
  <si>
    <t>Adil Kurikkal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</si>
</sst>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\ &quot;Km&quot;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ahnschrift"/>
      <family val="2"/>
    </font>
    <font>
      <b/>
      <sz val="11"/>
      <color theme="3" tint="-0.499984740745262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14" fontId="3" fillId="3" borderId="3" xfId="0" applyNumberFormat="1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 vertical="center"/>
    </xf>
    <xf numFmtId="14" fontId="3" fillId="3" borderId="5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14" fontId="3" fillId="3" borderId="7" xfId="0" applyNumberFormat="1" applyFont="1" applyFill="1" applyBorder="1" applyAlignment="1">
      <alignment horizontal="center" vertical="center" wrapText="1" readingOrder="1"/>
    </xf>
    <xf numFmtId="14" fontId="3" fillId="3" borderId="6" xfId="0" applyNumberFormat="1" applyFont="1" applyFill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0" fillId="0" borderId="8" xfId="0" applyBorder="1" applyAlignment="1">
      <alignment horizontal="center" vertical="center"/>
    </xf>
    <xf numFmtId="164" fontId="1" fillId="0" borderId="2" xfId="1" applyNumberFormat="1" applyFont="1" applyFill="1" applyBorder="1" applyAlignment="1">
      <alignment horizontal="right" vertical="center"/>
    </xf>
    <xf numFmtId="43" fontId="1" fillId="0" borderId="8" xfId="1" applyFont="1" applyFill="1" applyBorder="1" applyAlignment="1">
      <alignment horizontal="right" vertical="center"/>
    </xf>
    <xf numFmtId="2" fontId="1" fillId="0" borderId="2" xfId="1" applyNumberFormat="1" applyFont="1" applyFill="1" applyBorder="1" applyAlignment="1">
      <alignment horizontal="right" vertical="center"/>
    </xf>
    <xf numFmtId="164" fontId="1" fillId="0" borderId="9" xfId="1" applyNumberFormat="1" applyFont="1" applyFill="1" applyBorder="1" applyAlignment="1">
      <alignment horizontal="right" vertical="center"/>
    </xf>
    <xf numFmtId="43" fontId="1" fillId="0" borderId="8" xfId="1" applyFont="1" applyFill="1" applyBorder="1"/>
    <xf numFmtId="0" fontId="0" fillId="2" borderId="0" xfId="0" applyFill="1"/>
    <xf numFmtId="164" fontId="3" fillId="2" borderId="2" xfId="1" applyNumberFormat="1" applyFont="1" applyFill="1" applyBorder="1" applyAlignment="1">
      <alignment horizontal="right" vertical="center"/>
    </xf>
    <xf numFmtId="0" fontId="3" fillId="0" borderId="10" xfId="0" applyFont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0" fillId="0" borderId="0" xfId="0" applyAlignment="1">
      <alignment horizontal="center" vertical="center"/>
    </xf>
    <xf numFmtId="164" fontId="1" fillId="0" borderId="10" xfId="1" applyNumberFormat="1" applyFont="1" applyFill="1" applyBorder="1" applyAlignment="1">
      <alignment horizontal="right" vertical="center"/>
    </xf>
    <xf numFmtId="43" fontId="1" fillId="0" borderId="0" xfId="1" applyFont="1" applyFill="1" applyBorder="1" applyAlignment="1">
      <alignment horizontal="right" vertical="center"/>
    </xf>
    <xf numFmtId="2" fontId="1" fillId="0" borderId="10" xfId="1" applyNumberFormat="1" applyFont="1" applyFill="1" applyBorder="1" applyAlignment="1">
      <alignment horizontal="right" vertical="center"/>
    </xf>
    <xf numFmtId="164" fontId="1" fillId="0" borderId="11" xfId="1" applyNumberFormat="1" applyFont="1" applyFill="1" applyBorder="1" applyAlignment="1">
      <alignment horizontal="right" vertical="center"/>
    </xf>
    <xf numFmtId="43" fontId="1" fillId="0" borderId="0" xfId="1" applyFont="1" applyFill="1" applyBorder="1"/>
    <xf numFmtId="164" fontId="3" fillId="2" borderId="10" xfId="1" applyNumberFormat="1" applyFont="1" applyFill="1" applyBorder="1" applyAlignment="1">
      <alignment horizontal="right" vertical="center"/>
    </xf>
    <xf numFmtId="0" fontId="0" fillId="0" borderId="10" xfId="0" applyBorder="1" applyAlignment="1">
      <alignment horizontal="center" vertical="top"/>
    </xf>
    <xf numFmtId="43" fontId="2" fillId="0" borderId="0" xfId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10" xfId="0" applyBorder="1"/>
    <xf numFmtId="0" fontId="0" fillId="4" borderId="0" xfId="0" applyFill="1"/>
    <xf numFmtId="0" fontId="0" fillId="0" borderId="11" xfId="0" applyBorder="1"/>
    <xf numFmtId="0" fontId="3" fillId="0" borderId="6" xfId="0" applyFont="1" applyBorder="1" applyAlignment="1">
      <alignment horizontal="center" vertical="top"/>
    </xf>
    <xf numFmtId="0" fontId="0" fillId="0" borderId="1" xfId="0" applyBorder="1"/>
    <xf numFmtId="0" fontId="6" fillId="0" borderId="6" xfId="0" applyFont="1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164" fontId="1" fillId="0" borderId="6" xfId="1" applyNumberFormat="1" applyFont="1" applyFill="1" applyBorder="1" applyAlignment="1">
      <alignment horizontal="right" vertical="center"/>
    </xf>
    <xf numFmtId="43" fontId="1" fillId="0" borderId="1" xfId="1" applyFont="1" applyFill="1" applyBorder="1" applyAlignment="1">
      <alignment horizontal="right" vertical="center"/>
    </xf>
    <xf numFmtId="2" fontId="1" fillId="0" borderId="12" xfId="1" applyNumberFormat="1" applyFont="1" applyFill="1" applyBorder="1" applyAlignment="1">
      <alignment horizontal="right" vertical="center"/>
    </xf>
    <xf numFmtId="164" fontId="1" fillId="0" borderId="1" xfId="1" applyNumberFormat="1" applyFont="1" applyFill="1" applyBorder="1" applyAlignment="1">
      <alignment horizontal="right" vertical="center"/>
    </xf>
    <xf numFmtId="43" fontId="1" fillId="0" borderId="1" xfId="1" applyFont="1" applyFill="1" applyBorder="1"/>
    <xf numFmtId="164" fontId="3" fillId="2" borderId="6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223588</xdr:colOff>
      <xdr:row>0</xdr:row>
      <xdr:rowOff>180974</xdr:rowOff>
    </xdr:from>
    <xdr:to>
      <xdr:col>1</xdr:col>
      <xdr:colOff>537912</xdr:colOff>
      <xdr:row>4</xdr:row>
      <xdr:rowOff>26218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599E0-2BF7-457F-B922-16BFF75DF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588" y="180974"/>
          <a:ext cx="561974" cy="5818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3"/>
  <sheetViews>
    <sheetView tabSelected="1" workbookViewId="0">
      <selection activeCell="E15" sqref="E15"/>
    </sheetView>
  </sheetViews>
  <sheetFormatPr defaultRowHeight="14.5" x14ac:dyDescent="0.35"/>
  <cols>
    <col min="1" max="1" width="3.54296875" customWidth="1"/>
    <col min="3" max="3" width="28.453125" customWidth="1"/>
    <col min="4" max="4" width="13.81640625" customWidth="1"/>
    <col min="5" max="5" width="12.1796875" customWidth="1"/>
    <col min="6" max="6" width="10.81640625" customWidth="1"/>
    <col min="7" max="8" width="8.54296875" customWidth="1"/>
    <col min="9" max="9" width="10.81640625" customWidth="1"/>
    <col min="10" max="10" width="9" customWidth="1"/>
    <col min="11" max="11" width="12" customWidth="1"/>
    <col min="12" max="12" width="10.81640625" customWidth="1"/>
    <col min="15" max="15" width="13.7265625" customWidth="1"/>
  </cols>
  <sheetData>
    <row r="2" spans="2:15" ht="16.5" customHeight="1" x14ac:dyDescent="0.3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15" x14ac:dyDescent="0.3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x14ac:dyDescent="0.35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5" x14ac:dyDescent="0.35">
      <c r="B5" s="4" t="s">
        <v>3</v>
      </c>
      <c r="C5" s="4" t="s">
        <v>4</v>
      </c>
      <c r="D5" s="4" t="s">
        <v>5</v>
      </c>
      <c r="E5" s="4" t="s">
        <v>6</v>
      </c>
      <c r="F5" s="5">
        <v>46266</v>
      </c>
      <c r="G5" s="6"/>
      <c r="H5" s="7"/>
      <c r="I5" s="5">
        <v>46267</v>
      </c>
      <c r="J5" s="6"/>
      <c r="K5" s="7"/>
      <c r="L5" s="5">
        <v>46268</v>
      </c>
      <c r="M5" s="6"/>
      <c r="N5" s="7"/>
      <c r="O5" s="4" t="s">
        <v>7</v>
      </c>
    </row>
    <row r="6" spans="2:15" ht="29" x14ac:dyDescent="0.35">
      <c r="B6" s="8"/>
      <c r="C6" s="8"/>
      <c r="D6" s="8"/>
      <c r="E6" s="8"/>
      <c r="F6" s="9" t="s">
        <v>8</v>
      </c>
      <c r="G6" s="9" t="s">
        <v>9</v>
      </c>
      <c r="H6" s="10" t="s">
        <v>10</v>
      </c>
      <c r="I6" s="9" t="s">
        <v>8</v>
      </c>
      <c r="J6" s="9" t="s">
        <v>9</v>
      </c>
      <c r="K6" s="10" t="s">
        <v>10</v>
      </c>
      <c r="L6" s="9" t="s">
        <v>8</v>
      </c>
      <c r="M6" s="9" t="s">
        <v>9</v>
      </c>
      <c r="N6" s="10" t="s">
        <v>10</v>
      </c>
      <c r="O6" s="8"/>
    </row>
    <row r="7" spans="2:15" x14ac:dyDescent="0.35">
      <c r="B7" s="11">
        <v>12</v>
      </c>
      <c r="C7" s="12" t="s">
        <v>11</v>
      </c>
      <c r="D7" s="13" t="s">
        <v>12</v>
      </c>
      <c r="E7" s="14">
        <v>9446213680</v>
      </c>
      <c r="F7" s="15">
        <v>10.130000000000001</v>
      </c>
      <c r="G7" s="16">
        <v>5.5</v>
      </c>
      <c r="H7" s="17">
        <v>59.08</v>
      </c>
      <c r="I7" s="18">
        <v>15.63</v>
      </c>
      <c r="J7" s="19">
        <v>6.06</v>
      </c>
      <c r="K7" s="19" t="s">
        <v>13</v>
      </c>
      <c r="L7" s="15">
        <v>20.56</v>
      </c>
      <c r="M7" s="20">
        <v>6.35</v>
      </c>
      <c r="N7" s="20" t="s">
        <v>14</v>
      </c>
      <c r="O7" s="21">
        <f t="shared" ref="O7:O33" si="0">F7+I7+L7</f>
        <v>46.32</v>
      </c>
    </row>
    <row r="8" spans="2:15" x14ac:dyDescent="0.35">
      <c r="B8" s="22">
        <v>8</v>
      </c>
      <c r="C8" s="23" t="s">
        <v>15</v>
      </c>
      <c r="D8" s="24" t="s">
        <v>12</v>
      </c>
      <c r="E8" s="25">
        <v>7025389330</v>
      </c>
      <c r="F8" s="26">
        <v>10.029999999999999</v>
      </c>
      <c r="G8" s="27">
        <v>5.0999999999999996</v>
      </c>
      <c r="H8" s="28">
        <v>51.51</v>
      </c>
      <c r="I8" s="29">
        <v>10.01</v>
      </c>
      <c r="J8" s="30">
        <v>5</v>
      </c>
      <c r="K8" s="30">
        <v>50.9</v>
      </c>
      <c r="L8" s="26">
        <v>11.01</v>
      </c>
      <c r="M8" s="20">
        <v>5.38</v>
      </c>
      <c r="N8" s="20" t="s">
        <v>16</v>
      </c>
      <c r="O8" s="31">
        <f t="shared" si="0"/>
        <v>31.049999999999997</v>
      </c>
    </row>
    <row r="9" spans="2:15" x14ac:dyDescent="0.35">
      <c r="B9" s="22">
        <v>13</v>
      </c>
      <c r="C9" s="23" t="s">
        <v>17</v>
      </c>
      <c r="D9" s="24" t="s">
        <v>12</v>
      </c>
      <c r="E9" s="25">
        <v>7907432881</v>
      </c>
      <c r="F9" s="26">
        <v>10.09</v>
      </c>
      <c r="G9" s="27">
        <v>5.25</v>
      </c>
      <c r="H9" s="28">
        <v>54.44</v>
      </c>
      <c r="I9" s="29">
        <v>10.02</v>
      </c>
      <c r="J9" s="30">
        <v>5.4</v>
      </c>
      <c r="K9" s="30">
        <v>56.53</v>
      </c>
      <c r="L9" s="26">
        <v>10.06</v>
      </c>
      <c r="M9" s="20">
        <v>5.51</v>
      </c>
      <c r="N9" s="20">
        <v>58.57</v>
      </c>
      <c r="O9" s="31">
        <f t="shared" si="0"/>
        <v>30.17</v>
      </c>
    </row>
    <row r="10" spans="2:15" ht="15" customHeight="1" x14ac:dyDescent="0.35">
      <c r="B10" s="22">
        <v>15</v>
      </c>
      <c r="C10" s="23" t="s">
        <v>18</v>
      </c>
      <c r="D10" s="24" t="s">
        <v>12</v>
      </c>
      <c r="E10" s="25">
        <v>9995463548</v>
      </c>
      <c r="F10" s="26">
        <v>13.81</v>
      </c>
      <c r="G10" s="27">
        <v>3.42</v>
      </c>
      <c r="H10" s="28">
        <v>51.06</v>
      </c>
      <c r="I10" s="29"/>
      <c r="J10" s="30">
        <v>0</v>
      </c>
      <c r="K10" s="30">
        <v>0</v>
      </c>
      <c r="L10" s="26">
        <v>11.26</v>
      </c>
      <c r="M10" s="20">
        <v>5.14</v>
      </c>
      <c r="N10" s="20">
        <v>58.58</v>
      </c>
      <c r="O10" s="31">
        <f t="shared" si="0"/>
        <v>25.07</v>
      </c>
    </row>
    <row r="11" spans="2:15" ht="15" customHeight="1" x14ac:dyDescent="0.35">
      <c r="B11" s="32">
        <v>16</v>
      </c>
      <c r="C11" s="23" t="s">
        <v>19</v>
      </c>
      <c r="D11" s="24" t="s">
        <v>12</v>
      </c>
      <c r="E11" s="25">
        <v>9446714101</v>
      </c>
      <c r="F11" s="26">
        <v>5.72</v>
      </c>
      <c r="G11" s="27">
        <v>6.2</v>
      </c>
      <c r="H11" s="28">
        <v>36.159999999999997</v>
      </c>
      <c r="I11" s="29">
        <v>7.15</v>
      </c>
      <c r="J11" s="30">
        <v>5.58</v>
      </c>
      <c r="K11" s="30">
        <v>42.43</v>
      </c>
      <c r="L11" s="26">
        <v>11.02</v>
      </c>
      <c r="M11" s="20">
        <v>6.57</v>
      </c>
      <c r="N11" s="20" t="s">
        <v>20</v>
      </c>
      <c r="O11" s="31">
        <f t="shared" si="0"/>
        <v>23.89</v>
      </c>
    </row>
    <row r="12" spans="2:15" ht="15" customHeight="1" x14ac:dyDescent="0.35">
      <c r="B12" s="22">
        <v>10</v>
      </c>
      <c r="C12" s="23" t="s">
        <v>21</v>
      </c>
      <c r="D12" s="24" t="s">
        <v>12</v>
      </c>
      <c r="E12" s="25">
        <v>9947703932</v>
      </c>
      <c r="F12" s="26">
        <v>6.01</v>
      </c>
      <c r="G12" s="27">
        <v>6.49</v>
      </c>
      <c r="H12" s="28">
        <v>40.57</v>
      </c>
      <c r="I12" s="29">
        <v>8.01</v>
      </c>
      <c r="J12" s="30">
        <v>6.15</v>
      </c>
      <c r="K12" s="30">
        <v>50.6</v>
      </c>
      <c r="L12" s="26">
        <v>6.02</v>
      </c>
      <c r="M12" s="20">
        <v>6.2</v>
      </c>
      <c r="N12" s="20">
        <v>38.6</v>
      </c>
      <c r="O12" s="31">
        <f t="shared" si="0"/>
        <v>20.04</v>
      </c>
    </row>
    <row r="13" spans="2:15" x14ac:dyDescent="0.35">
      <c r="B13" s="22">
        <v>6</v>
      </c>
      <c r="C13" s="23" t="s">
        <v>22</v>
      </c>
      <c r="D13" s="24" t="s">
        <v>12</v>
      </c>
      <c r="E13" s="25">
        <v>9447947425</v>
      </c>
      <c r="F13" s="26">
        <v>4.29</v>
      </c>
      <c r="G13" s="33">
        <v>0</v>
      </c>
      <c r="H13" s="28">
        <v>28.35</v>
      </c>
      <c r="I13" s="29">
        <v>5.14</v>
      </c>
      <c r="J13" s="30">
        <v>0</v>
      </c>
      <c r="K13" s="30">
        <v>32.26</v>
      </c>
      <c r="L13" s="26">
        <v>10.4</v>
      </c>
      <c r="M13" s="20">
        <v>6.54</v>
      </c>
      <c r="N13" s="20" t="s">
        <v>23</v>
      </c>
      <c r="O13" s="31">
        <f t="shared" si="0"/>
        <v>19.829999999999998</v>
      </c>
    </row>
    <row r="14" spans="2:15" x14ac:dyDescent="0.35">
      <c r="B14" s="22">
        <v>9</v>
      </c>
      <c r="C14" s="23" t="s">
        <v>24</v>
      </c>
      <c r="D14" s="24" t="s">
        <v>12</v>
      </c>
      <c r="E14" s="25">
        <v>9497662430</v>
      </c>
      <c r="F14" s="26">
        <v>8.08</v>
      </c>
      <c r="G14" s="27">
        <v>7.11</v>
      </c>
      <c r="H14" s="28">
        <v>58.05</v>
      </c>
      <c r="I14" s="29">
        <v>6.42</v>
      </c>
      <c r="J14" s="30">
        <v>6.44</v>
      </c>
      <c r="K14" s="30">
        <v>43.18</v>
      </c>
      <c r="L14" s="26">
        <v>4.12</v>
      </c>
      <c r="M14" s="20">
        <v>0</v>
      </c>
      <c r="N14" s="20">
        <v>28.29</v>
      </c>
      <c r="O14" s="31">
        <f t="shared" si="0"/>
        <v>18.62</v>
      </c>
    </row>
    <row r="15" spans="2:15" x14ac:dyDescent="0.35">
      <c r="B15" s="22">
        <v>11</v>
      </c>
      <c r="C15" t="s">
        <v>25</v>
      </c>
      <c r="D15" s="24" t="s">
        <v>12</v>
      </c>
      <c r="E15" s="25">
        <v>9495315601</v>
      </c>
      <c r="F15" s="26">
        <v>7.12</v>
      </c>
      <c r="G15" s="27">
        <v>6.23</v>
      </c>
      <c r="H15" s="28">
        <v>45.3</v>
      </c>
      <c r="I15" s="29">
        <v>11.16</v>
      </c>
      <c r="J15" s="30">
        <v>0</v>
      </c>
      <c r="K15" s="30" t="s">
        <v>16</v>
      </c>
      <c r="L15" s="26"/>
      <c r="M15" s="20"/>
      <c r="N15" s="20"/>
      <c r="O15" s="31">
        <f t="shared" si="0"/>
        <v>18.28</v>
      </c>
    </row>
    <row r="16" spans="2:15" x14ac:dyDescent="0.35">
      <c r="B16" s="22">
        <v>7</v>
      </c>
      <c r="C16" s="23" t="s">
        <v>26</v>
      </c>
      <c r="D16" s="24" t="s">
        <v>12</v>
      </c>
      <c r="E16" s="25">
        <v>8943864380</v>
      </c>
      <c r="F16" s="26">
        <v>5.39</v>
      </c>
      <c r="G16" s="27">
        <v>6.1</v>
      </c>
      <c r="H16" s="28">
        <v>33.18</v>
      </c>
      <c r="I16" s="29">
        <v>5.32</v>
      </c>
      <c r="J16" s="30">
        <v>0</v>
      </c>
      <c r="K16" s="30">
        <v>35.799999999999997</v>
      </c>
      <c r="L16" s="26">
        <v>7.3</v>
      </c>
      <c r="M16" s="20">
        <v>0</v>
      </c>
      <c r="N16" s="20">
        <v>42.19</v>
      </c>
      <c r="O16" s="31">
        <f t="shared" si="0"/>
        <v>18.010000000000002</v>
      </c>
    </row>
    <row r="17" spans="2:15" x14ac:dyDescent="0.35">
      <c r="B17" s="22">
        <v>19</v>
      </c>
      <c r="C17" t="s">
        <v>27</v>
      </c>
      <c r="D17" s="24" t="s">
        <v>12</v>
      </c>
      <c r="E17" s="25">
        <v>9149699374</v>
      </c>
      <c r="F17" s="26">
        <v>7.09</v>
      </c>
      <c r="G17" s="27">
        <v>5.17</v>
      </c>
      <c r="H17" s="28">
        <v>37.32</v>
      </c>
      <c r="I17" s="29">
        <v>10.47</v>
      </c>
      <c r="J17" s="30">
        <v>0</v>
      </c>
      <c r="K17" s="30">
        <v>49.16</v>
      </c>
      <c r="L17" s="26"/>
      <c r="M17" s="20"/>
      <c r="N17" s="20"/>
      <c r="O17" s="31">
        <f t="shared" si="0"/>
        <v>17.560000000000002</v>
      </c>
    </row>
    <row r="18" spans="2:15" x14ac:dyDescent="0.35">
      <c r="B18" s="22">
        <v>1</v>
      </c>
      <c r="C18" s="23" t="s">
        <v>28</v>
      </c>
      <c r="D18" s="24" t="s">
        <v>12</v>
      </c>
      <c r="E18" s="25">
        <v>9447771583</v>
      </c>
      <c r="F18" s="26">
        <v>5.23</v>
      </c>
      <c r="G18" s="27">
        <v>5.48</v>
      </c>
      <c r="H18" s="28">
        <v>30.21</v>
      </c>
      <c r="I18" s="29">
        <v>6.08</v>
      </c>
      <c r="J18" s="30">
        <v>5.49</v>
      </c>
      <c r="K18" s="30">
        <v>35.200000000000003</v>
      </c>
      <c r="L18" s="26">
        <v>5.23</v>
      </c>
      <c r="M18" s="20">
        <v>6.07</v>
      </c>
      <c r="N18" s="20">
        <v>32.200000000000003</v>
      </c>
      <c r="O18" s="31">
        <f t="shared" si="0"/>
        <v>16.54</v>
      </c>
    </row>
    <row r="19" spans="2:15" x14ac:dyDescent="0.35">
      <c r="B19" s="22">
        <v>5</v>
      </c>
      <c r="C19" s="23" t="s">
        <v>29</v>
      </c>
      <c r="D19" s="24" t="s">
        <v>12</v>
      </c>
      <c r="E19" s="25">
        <v>6282921012</v>
      </c>
      <c r="F19" s="26">
        <v>6</v>
      </c>
      <c r="G19" s="27">
        <v>6.15</v>
      </c>
      <c r="H19" s="28">
        <v>37.33</v>
      </c>
      <c r="I19" s="29">
        <v>5</v>
      </c>
      <c r="J19" s="30">
        <v>5.37</v>
      </c>
      <c r="K19" s="30">
        <v>28.5</v>
      </c>
      <c r="L19" s="26">
        <v>5</v>
      </c>
      <c r="M19" s="20">
        <v>5.48</v>
      </c>
      <c r="N19" s="20">
        <v>29.2</v>
      </c>
      <c r="O19" s="31">
        <f t="shared" si="0"/>
        <v>16</v>
      </c>
    </row>
    <row r="20" spans="2:15" x14ac:dyDescent="0.35">
      <c r="B20" s="22">
        <v>2</v>
      </c>
      <c r="C20" s="23" t="s">
        <v>30</v>
      </c>
      <c r="D20" s="24" t="s">
        <v>12</v>
      </c>
      <c r="E20" s="25">
        <v>9048736113</v>
      </c>
      <c r="F20" s="26">
        <v>4.5599999999999996</v>
      </c>
      <c r="G20" s="27">
        <v>6.24</v>
      </c>
      <c r="H20" s="28">
        <v>29.12</v>
      </c>
      <c r="I20" s="29">
        <v>5.01</v>
      </c>
      <c r="J20" s="30">
        <v>5.56</v>
      </c>
      <c r="K20" s="30">
        <v>29.43</v>
      </c>
      <c r="L20" s="26">
        <v>5.51</v>
      </c>
      <c r="M20" s="20">
        <v>0</v>
      </c>
      <c r="N20" s="20">
        <v>34.33</v>
      </c>
      <c r="O20" s="31">
        <f t="shared" si="0"/>
        <v>15.08</v>
      </c>
    </row>
    <row r="21" spans="2:15" x14ac:dyDescent="0.35">
      <c r="B21" s="22">
        <v>18</v>
      </c>
      <c r="C21" s="23" t="s">
        <v>31</v>
      </c>
      <c r="D21" s="24" t="s">
        <v>12</v>
      </c>
      <c r="E21" s="25" t="s">
        <v>32</v>
      </c>
      <c r="F21" s="26">
        <v>4.4800000000000004</v>
      </c>
      <c r="G21" s="27">
        <v>6.07</v>
      </c>
      <c r="H21" s="28">
        <v>27.24</v>
      </c>
      <c r="I21" s="29">
        <v>5.23</v>
      </c>
      <c r="J21" s="30">
        <v>6.09</v>
      </c>
      <c r="K21" s="30">
        <v>32.1</v>
      </c>
      <c r="L21" s="26">
        <v>4.53</v>
      </c>
      <c r="M21" s="20">
        <v>0</v>
      </c>
      <c r="N21" s="20">
        <v>28.29</v>
      </c>
      <c r="O21" s="31">
        <f t="shared" si="0"/>
        <v>14.240000000000002</v>
      </c>
    </row>
    <row r="22" spans="2:15" ht="17.25" customHeight="1" x14ac:dyDescent="0.35">
      <c r="B22" s="22">
        <v>17</v>
      </c>
      <c r="C22" t="s">
        <v>33</v>
      </c>
      <c r="D22" s="24" t="s">
        <v>12</v>
      </c>
      <c r="E22" s="25">
        <v>8111931245</v>
      </c>
      <c r="F22" s="26">
        <v>5.21</v>
      </c>
      <c r="G22" s="27">
        <v>6.16</v>
      </c>
      <c r="H22" s="28">
        <v>32.42</v>
      </c>
      <c r="I22" s="29">
        <v>6.49</v>
      </c>
      <c r="J22" s="30">
        <v>6.42</v>
      </c>
      <c r="K22" s="30">
        <v>43.33</v>
      </c>
      <c r="L22" s="26"/>
      <c r="M22" s="20"/>
      <c r="N22" s="20"/>
      <c r="O22" s="31">
        <f t="shared" si="0"/>
        <v>11.7</v>
      </c>
    </row>
    <row r="23" spans="2:15" x14ac:dyDescent="0.35">
      <c r="B23" s="22">
        <v>3</v>
      </c>
      <c r="C23" s="23" t="s">
        <v>34</v>
      </c>
      <c r="D23" s="24" t="s">
        <v>12</v>
      </c>
      <c r="E23" s="25">
        <v>9495130606</v>
      </c>
      <c r="F23" s="26">
        <v>5.24</v>
      </c>
      <c r="G23" s="27">
        <v>6.47</v>
      </c>
      <c r="H23" s="28">
        <v>35.36</v>
      </c>
      <c r="I23" s="29">
        <v>5.0199999999999996</v>
      </c>
      <c r="J23" s="30">
        <v>6.26</v>
      </c>
      <c r="K23" s="30">
        <v>32.17</v>
      </c>
      <c r="L23" s="26"/>
      <c r="M23" s="20"/>
      <c r="N23" s="20"/>
      <c r="O23" s="31">
        <f t="shared" si="0"/>
        <v>10.26</v>
      </c>
    </row>
    <row r="24" spans="2:15" x14ac:dyDescent="0.35">
      <c r="B24" s="22">
        <v>21</v>
      </c>
      <c r="C24" t="s">
        <v>35</v>
      </c>
      <c r="D24" s="24" t="s">
        <v>12</v>
      </c>
      <c r="E24" s="25" t="s">
        <v>36</v>
      </c>
      <c r="F24" s="26"/>
      <c r="G24" s="27">
        <v>0</v>
      </c>
      <c r="H24" s="28">
        <v>0</v>
      </c>
      <c r="I24" s="29">
        <v>5.05</v>
      </c>
      <c r="J24" s="30">
        <v>6.37</v>
      </c>
      <c r="K24" s="30">
        <v>33.229999999999997</v>
      </c>
      <c r="L24" s="26">
        <v>5.0599999999999996</v>
      </c>
      <c r="M24" s="20">
        <v>6.42</v>
      </c>
      <c r="N24" s="20">
        <v>33.54</v>
      </c>
      <c r="O24" s="31">
        <f t="shared" si="0"/>
        <v>10.11</v>
      </c>
    </row>
    <row r="25" spans="2:15" x14ac:dyDescent="0.35">
      <c r="B25" s="22">
        <v>4</v>
      </c>
      <c r="C25" s="23" t="s">
        <v>37</v>
      </c>
      <c r="D25" s="24" t="s">
        <v>12</v>
      </c>
      <c r="E25" s="25">
        <v>8086026363</v>
      </c>
      <c r="F25" s="26">
        <v>3.09</v>
      </c>
      <c r="G25" s="27">
        <v>5.53</v>
      </c>
      <c r="H25" s="28">
        <v>18.14</v>
      </c>
      <c r="I25" s="29">
        <v>3.02</v>
      </c>
      <c r="J25" s="30">
        <v>5.25</v>
      </c>
      <c r="K25" s="30">
        <v>16.2</v>
      </c>
      <c r="L25" s="26">
        <v>3.02</v>
      </c>
      <c r="M25" s="20">
        <v>5.43</v>
      </c>
      <c r="N25" s="20">
        <v>17.149999999999999</v>
      </c>
      <c r="O25" s="31">
        <f t="shared" si="0"/>
        <v>9.129999999999999</v>
      </c>
    </row>
    <row r="26" spans="2:15" x14ac:dyDescent="0.35">
      <c r="B26" s="22">
        <v>22</v>
      </c>
      <c r="C26" t="s">
        <v>38</v>
      </c>
      <c r="D26" s="24" t="s">
        <v>12</v>
      </c>
      <c r="E26" s="25" t="s">
        <v>39</v>
      </c>
      <c r="F26" s="26"/>
      <c r="G26" s="27">
        <v>0</v>
      </c>
      <c r="H26" s="28">
        <v>0</v>
      </c>
      <c r="I26" s="29">
        <v>5.56</v>
      </c>
      <c r="J26" s="30">
        <v>5.57</v>
      </c>
      <c r="K26" s="30">
        <v>33.03</v>
      </c>
      <c r="L26" s="26">
        <v>3.56</v>
      </c>
      <c r="M26" s="20">
        <v>5.0199999999999996</v>
      </c>
      <c r="N26" s="20">
        <v>17.54</v>
      </c>
      <c r="O26" s="31">
        <f t="shared" si="0"/>
        <v>9.1199999999999992</v>
      </c>
    </row>
    <row r="27" spans="2:15" x14ac:dyDescent="0.35">
      <c r="B27" s="22">
        <v>25</v>
      </c>
      <c r="C27" t="s">
        <v>40</v>
      </c>
      <c r="D27" s="24" t="s">
        <v>12</v>
      </c>
      <c r="E27" s="34">
        <v>8921928701</v>
      </c>
      <c r="F27" s="35"/>
      <c r="H27" s="35"/>
      <c r="I27" s="29">
        <v>7.63</v>
      </c>
      <c r="J27" s="30">
        <v>5.42</v>
      </c>
      <c r="K27" s="30">
        <v>43.3</v>
      </c>
      <c r="L27" s="26"/>
      <c r="M27" s="20"/>
      <c r="N27" s="20"/>
      <c r="O27" s="31">
        <f t="shared" si="0"/>
        <v>7.63</v>
      </c>
    </row>
    <row r="28" spans="2:15" x14ac:dyDescent="0.35">
      <c r="B28" s="22">
        <v>23</v>
      </c>
      <c r="C28" s="36" t="s">
        <v>41</v>
      </c>
      <c r="D28" s="24" t="s">
        <v>12</v>
      </c>
      <c r="E28" s="25">
        <v>9947089435</v>
      </c>
      <c r="F28" s="26">
        <v>6.69</v>
      </c>
      <c r="G28" s="27">
        <v>8.57</v>
      </c>
      <c r="H28" s="28">
        <v>59.54</v>
      </c>
      <c r="I28" s="29"/>
      <c r="J28" s="30">
        <v>0</v>
      </c>
      <c r="K28" s="30">
        <v>0</v>
      </c>
      <c r="L28" s="26"/>
      <c r="M28" s="20"/>
      <c r="N28" s="20"/>
      <c r="O28" s="31">
        <f t="shared" si="0"/>
        <v>6.69</v>
      </c>
    </row>
    <row r="29" spans="2:15" x14ac:dyDescent="0.35">
      <c r="B29" s="22">
        <v>14</v>
      </c>
      <c r="C29" s="23" t="s">
        <v>42</v>
      </c>
      <c r="D29" s="24" t="s">
        <v>12</v>
      </c>
      <c r="E29" s="25">
        <v>7994648644</v>
      </c>
      <c r="F29" s="26">
        <v>5.01</v>
      </c>
      <c r="G29" s="27">
        <v>9.36</v>
      </c>
      <c r="H29" s="28">
        <v>48.13</v>
      </c>
      <c r="I29" s="29"/>
      <c r="J29" s="30">
        <v>0</v>
      </c>
      <c r="K29" s="30">
        <v>0</v>
      </c>
      <c r="L29" s="26"/>
      <c r="M29" s="20"/>
      <c r="N29" s="20"/>
      <c r="O29" s="31">
        <f t="shared" si="0"/>
        <v>5.01</v>
      </c>
    </row>
    <row r="30" spans="2:15" x14ac:dyDescent="0.35">
      <c r="B30" s="22">
        <v>24</v>
      </c>
      <c r="C30" s="36" t="s">
        <v>43</v>
      </c>
      <c r="D30" s="24" t="s">
        <v>12</v>
      </c>
      <c r="E30" s="25">
        <v>9745197890</v>
      </c>
      <c r="F30" s="35"/>
      <c r="H30" s="37"/>
      <c r="I30" s="29">
        <v>1.08</v>
      </c>
      <c r="J30" s="30">
        <v>0</v>
      </c>
      <c r="K30" s="30">
        <v>0</v>
      </c>
      <c r="L30" s="26">
        <v>3.86</v>
      </c>
      <c r="M30" s="20">
        <v>0</v>
      </c>
      <c r="N30" s="20">
        <v>27.28</v>
      </c>
      <c r="O30" s="31">
        <f t="shared" si="0"/>
        <v>4.9399999999999995</v>
      </c>
    </row>
    <row r="31" spans="2:15" x14ac:dyDescent="0.35">
      <c r="B31" s="22">
        <v>26</v>
      </c>
      <c r="C31" t="s">
        <v>44</v>
      </c>
      <c r="D31" s="24" t="s">
        <v>12</v>
      </c>
      <c r="E31" s="25">
        <v>9567402014</v>
      </c>
      <c r="F31" s="35"/>
      <c r="H31" s="37"/>
      <c r="I31" s="37"/>
      <c r="L31" s="26">
        <v>3.76</v>
      </c>
      <c r="M31" s="20">
        <v>6.12</v>
      </c>
      <c r="N31" s="20">
        <v>23.2</v>
      </c>
      <c r="O31" s="31">
        <f t="shared" si="0"/>
        <v>3.76</v>
      </c>
    </row>
    <row r="32" spans="2:15" x14ac:dyDescent="0.35">
      <c r="B32" s="22">
        <v>27</v>
      </c>
      <c r="C32" t="s">
        <v>45</v>
      </c>
      <c r="D32" s="35"/>
      <c r="F32" s="35"/>
      <c r="H32" s="37"/>
      <c r="L32" s="26">
        <v>3.21</v>
      </c>
      <c r="M32" s="20">
        <v>6.4</v>
      </c>
      <c r="N32" s="20">
        <v>21.28</v>
      </c>
      <c r="O32" s="31">
        <f t="shared" si="0"/>
        <v>3.21</v>
      </c>
    </row>
    <row r="33" spans="2:15" x14ac:dyDescent="0.35">
      <c r="B33" s="38">
        <v>20</v>
      </c>
      <c r="C33" s="39" t="s">
        <v>46</v>
      </c>
      <c r="D33" s="40" t="s">
        <v>12</v>
      </c>
      <c r="E33" s="41">
        <v>9072610410</v>
      </c>
      <c r="F33" s="42">
        <v>3.1</v>
      </c>
      <c r="G33" s="43">
        <v>5.49</v>
      </c>
      <c r="H33" s="44">
        <v>18.02</v>
      </c>
      <c r="I33" s="45"/>
      <c r="J33" s="46"/>
      <c r="K33" s="46"/>
      <c r="L33" s="42"/>
      <c r="M33" s="20"/>
      <c r="N33" s="20"/>
      <c r="O33" s="47">
        <f t="shared" si="0"/>
        <v>3.1</v>
      </c>
    </row>
  </sheetData>
  <mergeCells count="11">
    <mergeCell ref="O5:O6"/>
    <mergeCell ref="B2:O2"/>
    <mergeCell ref="B3:O3"/>
    <mergeCell ref="B4:O4"/>
    <mergeCell ref="B5:B6"/>
    <mergeCell ref="C5:C6"/>
    <mergeCell ref="D5:D6"/>
    <mergeCell ref="E5:E6"/>
    <mergeCell ref="F5:H5"/>
    <mergeCell ref="I5:K5"/>
    <mergeCell ref="L5:N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ZIDINI ACCOUNTING LLC</dc:creator>
  <cp:lastModifiedBy>ZIDINI ACCOUNTING LLC</cp:lastModifiedBy>
  <dcterms:created xsi:type="dcterms:W3CDTF">2015-06-05T18:17:20Z</dcterms:created>
  <dcterms:modified xsi:type="dcterms:W3CDTF">2026-09-03T11:05:17Z</dcterms:modified>
</cp:coreProperties>
</file>